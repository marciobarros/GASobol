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0" yWindow="45" windowWidth="28755" windowHeight="12810" activeTab="3"/>
  </bookViews>
  <sheets>
    <sheet name="Plan1" sheetId="1" r:id="rId1"/>
    <sheet name="Plan3" sheetId="3" r:id="rId2"/>
    <sheet name="Plan2" sheetId="2" r:id="rId3"/>
    <sheet name="Plan4" sheetId="4" r:id="rId4"/>
  </sheets>
  <functionGroups/>
  <definedNames>
    <definedName name="_xlnm._FilterDatabase" localSheetId="0" hidden="1">Plan1!#REF!</definedName>
  </definedNames>
  <calcPr calcId="125725"/>
</workbook>
</file>

<file path=xl/calcChain.xml><?xml version="1.0" encoding="utf-8"?>
<calcChain xmlns="http://schemas.openxmlformats.org/spreadsheetml/2006/main">
  <c r="H23" i="4"/>
  <c r="H22"/>
  <c r="H21"/>
  <c r="H20"/>
  <c r="H19"/>
  <c r="H18"/>
  <c r="H17"/>
  <c r="H16"/>
  <c r="J15"/>
  <c r="J16"/>
  <c r="J17"/>
  <c r="J18"/>
  <c r="J19"/>
  <c r="J20"/>
  <c r="J21"/>
  <c r="J22"/>
  <c r="J23"/>
  <c r="J14"/>
  <c r="H15"/>
  <c r="H5"/>
  <c r="H6"/>
  <c r="H7"/>
  <c r="H8"/>
  <c r="H9"/>
  <c r="H10"/>
  <c r="H11"/>
  <c r="H12"/>
  <c r="H4"/>
  <c r="J45" i="2"/>
  <c r="I45"/>
  <c r="H45"/>
  <c r="J44"/>
  <c r="I44"/>
  <c r="H44"/>
  <c r="J43"/>
  <c r="I43"/>
  <c r="H43"/>
  <c r="J42"/>
  <c r="I42"/>
  <c r="H42"/>
  <c r="J41"/>
  <c r="I41"/>
  <c r="H41"/>
  <c r="J40"/>
  <c r="I40"/>
  <c r="H40"/>
  <c r="J39"/>
  <c r="I39"/>
  <c r="H39"/>
  <c r="J38"/>
  <c r="I38"/>
  <c r="H38"/>
  <c r="J37"/>
  <c r="I37"/>
  <c r="H37"/>
  <c r="J36"/>
  <c r="I36"/>
  <c r="H36"/>
  <c r="K3" i="1"/>
  <c r="K11"/>
  <c r="K16"/>
  <c r="K23"/>
  <c r="G11" i="3"/>
  <c r="G10"/>
  <c r="G9"/>
  <c r="G8"/>
  <c r="G6"/>
  <c r="G5"/>
  <c r="G4"/>
  <c r="G3"/>
  <c r="I8" l="1"/>
  <c r="I9"/>
  <c r="I10"/>
  <c r="I11"/>
  <c r="J23" i="1"/>
  <c r="I23"/>
  <c r="J16"/>
  <c r="I16"/>
  <c r="J11"/>
  <c r="I11"/>
  <c r="J3"/>
  <c r="I3"/>
  <c r="J34" i="2"/>
  <c r="I34"/>
  <c r="H34"/>
  <c r="J33"/>
  <c r="I33"/>
  <c r="H33"/>
  <c r="J32"/>
  <c r="I32"/>
  <c r="H32"/>
  <c r="J31"/>
  <c r="I31"/>
  <c r="H31"/>
  <c r="J30"/>
  <c r="I30"/>
  <c r="H30"/>
  <c r="J29"/>
  <c r="I29"/>
  <c r="H29"/>
  <c r="J28"/>
  <c r="I28"/>
  <c r="H28"/>
  <c r="J27"/>
  <c r="I27"/>
  <c r="H27"/>
  <c r="J26"/>
  <c r="I26"/>
  <c r="H26"/>
  <c r="J25"/>
  <c r="I25"/>
  <c r="H25"/>
  <c r="J23"/>
  <c r="I23"/>
  <c r="H23"/>
  <c r="J22"/>
  <c r="I22"/>
  <c r="H22"/>
  <c r="J21"/>
  <c r="I21"/>
  <c r="H21"/>
  <c r="J20"/>
  <c r="I20"/>
  <c r="H20"/>
  <c r="J19"/>
  <c r="I19"/>
  <c r="H19"/>
  <c r="J18"/>
  <c r="I18"/>
  <c r="H18"/>
  <c r="J17"/>
  <c r="I17"/>
  <c r="H17"/>
  <c r="J16"/>
  <c r="I16"/>
  <c r="H16"/>
  <c r="J15"/>
  <c r="I15"/>
  <c r="H15"/>
  <c r="J14"/>
  <c r="I14"/>
  <c r="H14"/>
  <c r="H24" i="1"/>
  <c r="H27"/>
  <c r="H26"/>
  <c r="H14"/>
  <c r="H13"/>
  <c r="H19"/>
  <c r="H20"/>
  <c r="H18"/>
  <c r="H9"/>
  <c r="H6"/>
  <c r="H4"/>
  <c r="H5"/>
  <c r="H25"/>
  <c r="H28"/>
  <c r="H23"/>
  <c r="H11"/>
  <c r="H12"/>
  <c r="H16"/>
  <c r="H17"/>
  <c r="H21"/>
  <c r="H8"/>
  <c r="H3"/>
  <c r="H7"/>
</calcChain>
</file>

<file path=xl/sharedStrings.xml><?xml version="1.0" encoding="utf-8"?>
<sst xmlns="http://schemas.openxmlformats.org/spreadsheetml/2006/main" count="206" uniqueCount="74">
  <si>
    <t>Cycle #0</t>
  </si>
  <si>
    <t>Cycle #1</t>
  </si>
  <si>
    <t>Cycle #2</t>
  </si>
  <si>
    <t>Cycle #4</t>
  </si>
  <si>
    <t>Cycle #5</t>
  </si>
  <si>
    <t>Cycle #6</t>
  </si>
  <si>
    <t>Cycle #8</t>
  </si>
  <si>
    <t>Cycle #11</t>
  </si>
  <si>
    <t>Cycle #12</t>
  </si>
  <si>
    <t>Cycle #13</t>
  </si>
  <si>
    <t>Cycle #15</t>
  </si>
  <si>
    <t>Cycle #18</t>
  </si>
  <si>
    <t>Cycle #20</t>
  </si>
  <si>
    <t>Cycle #23</t>
  </si>
  <si>
    <t>Cycle #25</t>
  </si>
  <si>
    <t>Cycle #26</t>
  </si>
  <si>
    <t xml:space="preserve">  [8 8 0 0 1 1 5 8 8 0 2 4 2 6 6 10 9 10 5 10 10 10 6 4 9 9]</t>
  </si>
  <si>
    <t xml:space="preserve">  [0 0 8 8 10 10 5 0 0 8 4 9 4 1 1 11 3 11 11 5 11 11 1 9 3 3]</t>
  </si>
  <si>
    <t xml:space="preserve">  [6 6 11 11 4 4 9 6 6 11 2 5 2 10 10 0 7 9 0 0 0 0 10 5 7 7]</t>
  </si>
  <si>
    <t>ANTIGO</t>
  </si>
  <si>
    <t>JODA-MONEY</t>
  </si>
  <si>
    <t xml:space="preserve">  [9 9 7 7 3 3 4 9 9 7 6 12 6 1 1 8 5 8 4 8 8 5 1 1 12 12]</t>
  </si>
  <si>
    <t xml:space="preserve">  [11 11 12 12 7 7 0 11 11 11 6 10 6 2 2 5 4 0 5 5 5 5 2 10 4 4]</t>
  </si>
  <si>
    <t xml:space="preserve">  [10 10 12 6 4 4 6 12 10 12 1 5 1 9 9 3 2 3 6 3 3 3 9 5 2 2]</t>
  </si>
  <si>
    <t xml:space="preserve">  [2 2 4 4 8 8 5 2 2 4 11 7 11 9 9 12 0 12 12 5 12 0 9 9 7 7]</t>
  </si>
  <si>
    <t xml:space="preserve">  [3 11 2 12 12 8 8 5 5 6 2 6 11 0 5 3 0 3 6 1 1 0 0 5 10 1 10]</t>
  </si>
  <si>
    <t xml:space="preserve">  [6 5 9 2 2 7 7 1 3 3 9 1 5 10 1 6 10 6 6 8 8 10 10 1 4 8 4]</t>
  </si>
  <si>
    <t>JXLS-READER</t>
  </si>
  <si>
    <t xml:space="preserve">  [7 10 11 6 6 9 9 3 3 8 11 3 10 7 3 8 7 8 8 5 5 7 7 3 2 5 2]</t>
  </si>
  <si>
    <t xml:space="preserve">  [5 0 6 4 4 2 2 12 12 1 6 1 0 9 1 5 9 5 1 3 3 9 9 5 11 3 11]</t>
  </si>
  <si>
    <t xml:space="preserve">  [12 5 1 2 2 6 6 3 3 11 1 11 5 8 3 12 8 11 11 0 0 8 8 3 10 0 10]</t>
  </si>
  <si>
    <t xml:space="preserve">  [10 8 4 11 11 6 6 5 10 2 4 5 8 3 5 2 3 2 2 12 12 3 3 10 1 12 1]</t>
  </si>
  <si>
    <t xml:space="preserve">  [1 1 5 5 8 8 0 1 1 5 6 2 6 4 4 10 11 10 0 10 10 10 4 2 11 11]</t>
  </si>
  <si>
    <t xml:space="preserve">  [2 2 4 4 6 6 3 2 2 4 5 0 5 8 8 7 1 3 7 7 7 7 8 0 1 1]</t>
  </si>
  <si>
    <t xml:space="preserve">  [8 8 2 2 9 9 11 8 8 2 7 1 7 3 3 6 10 6 6 11 6 6 3 1 10 10]</t>
  </si>
  <si>
    <t xml:space="preserve">  [2 2 7 7 3 3 8 2 2 7 4 12 4 1 1 6 5 8 6 6 6 5 1 1 12 5]</t>
  </si>
  <si>
    <t>SOBOL</t>
  </si>
  <si>
    <t xml:space="preserve">  [5 2 1 0 0 3 3 9 9 8 1 8 2 7 9 5 7 5 8 11 11 7 7 9 12 11 12]</t>
  </si>
  <si>
    <t xml:space="preserve">  [11 10 3 8 8 1 1 2 2 7 3 2 10 11 2 7 11 7 7 6 6 11 11 2 4 6 4]</t>
  </si>
  <si>
    <t xml:space="preserve">  [1 6 0 3 3 10 10 2 2 5 0 2 6 1 2 5 1 1 5 12 12 1 1 2 4 5 4]</t>
  </si>
  <si>
    <t xml:space="preserve">  [3 7 0 1 1 9 9 5 8 8 0 5 7 11 5 3 11 3 3 10 10 11 11 5 12 10 12]</t>
  </si>
  <si>
    <t xml:space="preserve">  [12 7 1 11 11 2 2 6 6 9 1 9 7 4 6 12 4 9 9 5 5 4 4 6 10 5 10]</t>
  </si>
  <si>
    <t xml:space="preserve">  [0 1 5 11 11 3 3 9 9 9 5 12 1 6 12 0 6 0 0 2 2 6 6 12 7 2 7]</t>
  </si>
  <si>
    <t xml:space="preserve">  [2 2 3 3 11 11 9 2 2 3 12 7 12 5 5 8 4 9 8 8 8 8 5 7 4 4]</t>
  </si>
  <si>
    <t xml:space="preserve">  [4 4 1 1 10 10 7 4 4 1 2 9 2 5 5 11 0 11 7 11 11 11 5 9 0 0]</t>
  </si>
  <si>
    <t xml:space="preserve">  [2 2 11 11 1 1 4 2 2 11 8 0 8 9 9 12 3 4 12 4 4 12 9 0 3 3]</t>
  </si>
  <si>
    <t xml:space="preserve">  [1 1 7 7 5 5 2 1 1 7 11 8 11 9 9 3 0 3 3 2 3 3 9 8 0 0]</t>
  </si>
  <si>
    <t>OLD-SEEDED</t>
  </si>
  <si>
    <t xml:space="preserve">  [2 2 7 7 11 11 5 2 2 7 12 4 12 0 0 6 3 6 5 6 6 6 0 4 3 3]</t>
  </si>
  <si>
    <t xml:space="preserve">  [6 6 9 9 5 5 4 6 6 9 3 1 3 0 0 10 8 4 10 10 10 10 0 1 8 8]</t>
  </si>
  <si>
    <t xml:space="preserve">  [11 11 8 8 10 10 12 11 11 8 2 0 2 7 7 9 3 9 9 12 9 9 7 0 3 3]</t>
  </si>
  <si>
    <t xml:space="preserve">  [9 9 6 6 4 4 7 9 9 6 11 3 11 1 1 12 8 7 12 7 7 12 1 3 8 8]</t>
  </si>
  <si>
    <t>NEW-SEEDED</t>
  </si>
  <si>
    <t>COMPARAÇÃO CÓDIGO NOVO - CÓDIGO ANTIGO</t>
  </si>
  <si>
    <t>RUN 1</t>
  </si>
  <si>
    <t xml:space="preserve">  [9 9 1 1 8 8 4 9 9 1 5 3 5 11 11 7 0 7 4 7 7 7 11 3 0 0]</t>
  </si>
  <si>
    <t>Cycle #3</t>
  </si>
  <si>
    <t xml:space="preserve">  [5 5 7 7 4 4 2 5 5 7 9 3 9 8 8 10 1 2 10 10 10 10 8 3 1 1]</t>
  </si>
  <si>
    <t xml:space="preserve">  [10 10 11 11 8 8 1 10 10 11 7 9 7 0 0 3 2 1 3 3 3 3 0 9 2 2]</t>
  </si>
  <si>
    <t xml:space="preserve">  [3 3 7 7 10 10 0 3 3 7 1 8 1 6 6 4 9 4 0 4 4 4 6 8 9 9]</t>
  </si>
  <si>
    <t>Cycle #7</t>
  </si>
  <si>
    <t xml:space="preserve">  [6 6 2 2 8 8 3 6 6 2 10 5 10 7 7 4 9 4 3 4 4 4 7 5 9 9]</t>
  </si>
  <si>
    <t xml:space="preserve">  [9 9 6 6 0 0 2 9 9 6 11 3 11 4 4 8 7 2 8 8 8 8 4 3 7 7]</t>
  </si>
  <si>
    <t>Cycle #9</t>
  </si>
  <si>
    <t xml:space="preserve">  [10 10 5 5 3 3 0 10 10 5 9 1 9 2 2 8 4 8 8 0 8 8 2 1 4 4]</t>
  </si>
  <si>
    <t>COMPARAÇÃO SEEDED NOVO - NOVO (JODA-MONEY)</t>
  </si>
  <si>
    <t>RUN 2</t>
  </si>
  <si>
    <t>RUN 3</t>
  </si>
  <si>
    <t>RESULTADOS COMPATÍVEIS</t>
  </si>
  <si>
    <t>RESULTADOS EXATOS</t>
  </si>
  <si>
    <t>RUN 4</t>
  </si>
  <si>
    <t>COMPARAÇÃO SEEDED NOVO - ANTIGO (JODA-MONEY)</t>
  </si>
  <si>
    <t>COMPARAÇÃO SEEDED NOVO - NOVO (JODA-MONEY with SOBOL)</t>
  </si>
  <si>
    <t xml:space="preserve">  [6 6 6 6 2 2 6 10 6 10 7 0 7 0 0 3 9 3 6 3 3 9 0 0 0 9]</t>
  </si>
</sst>
</file>

<file path=xl/styles.xml><?xml version="1.0" encoding="utf-8"?>
<styleSheet xmlns="http://schemas.openxmlformats.org/spreadsheetml/2006/main">
  <numFmts count="1">
    <numFmt numFmtId="164" formatCode="0.000"/>
  </numFmts>
  <fonts count="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1" fillId="0" borderId="0" xfId="0" applyFont="1"/>
    <xf numFmtId="0" fontId="2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K28"/>
  <sheetViews>
    <sheetView zoomScale="85" zoomScaleNormal="85" workbookViewId="0"/>
  </sheetViews>
  <sheetFormatPr defaultRowHeight="15"/>
  <cols>
    <col min="1" max="1" width="13.140625" bestFit="1" customWidth="1"/>
    <col min="2" max="2" width="12.7109375" bestFit="1" customWidth="1"/>
    <col min="3" max="3" width="10.140625" customWidth="1"/>
    <col min="7" max="7" width="54.5703125" bestFit="1" customWidth="1"/>
    <col min="8" max="8" width="78" customWidth="1"/>
    <col min="9" max="9" width="12.5703125" bestFit="1" customWidth="1"/>
  </cols>
  <sheetData>
    <row r="1" spans="1:11" ht="23.25">
      <c r="A1" s="2" t="s">
        <v>53</v>
      </c>
      <c r="H1" s="3" t="s">
        <v>68</v>
      </c>
    </row>
    <row r="2" spans="1:11">
      <c r="E2" s="1"/>
    </row>
    <row r="3" spans="1:11">
      <c r="A3" t="s">
        <v>20</v>
      </c>
      <c r="B3" t="s">
        <v>19</v>
      </c>
      <c r="C3" t="s">
        <v>11</v>
      </c>
      <c r="D3">
        <v>22368</v>
      </c>
      <c r="E3" s="1">
        <v>-2.7187000000000001</v>
      </c>
      <c r="F3">
        <v>42980</v>
      </c>
      <c r="G3" t="s">
        <v>22</v>
      </c>
      <c r="H3" t="str">
        <f t="shared" ref="H3:H9" si="0">Normalize(G3)</f>
        <v>[a1 a1 a2 a2 a3 a3 a4 a1 a1 a1 a5 a6 a5 a7 a7 a8 a9 a4 a8 a8 a8 a8 a7 a6 a9 a9 ]</v>
      </c>
      <c r="I3" s="1">
        <f>MIN(E3:E9)</f>
        <v>-2.7488999999999999</v>
      </c>
      <c r="J3" s="1">
        <f>MAX(E3:E9)</f>
        <v>-2.7084000000000001</v>
      </c>
      <c r="K3" s="4">
        <f>COUNT(F3:F8)</f>
        <v>6</v>
      </c>
    </row>
    <row r="4" spans="1:11">
      <c r="C4" t="s">
        <v>2</v>
      </c>
      <c r="D4">
        <v>21568</v>
      </c>
      <c r="E4" s="1">
        <v>-2.7488999999999999</v>
      </c>
      <c r="F4">
        <v>90537</v>
      </c>
      <c r="G4" t="s">
        <v>18</v>
      </c>
      <c r="H4" t="str">
        <f t="shared" si="0"/>
        <v>[a1 a1 a2 a2 a3 a3 a4 a1 a1 a2 a5 a6 a5 a7 a7 a8 a9 a4 a8 a8 a8 a8 a7 a6 a9 a9 ]</v>
      </c>
      <c r="K4" s="4"/>
    </row>
    <row r="5" spans="1:11">
      <c r="C5" t="s">
        <v>0</v>
      </c>
      <c r="D5">
        <v>21744</v>
      </c>
      <c r="E5" s="1">
        <v>-2.7488999999999999</v>
      </c>
      <c r="F5">
        <v>444400</v>
      </c>
      <c r="G5" t="s">
        <v>16</v>
      </c>
      <c r="H5" t="str">
        <f t="shared" si="0"/>
        <v>[a1 a1 a2 a2 a3 a3 a4 a1 a1 a2 a5 a6 a5 a7 a7 a8 a9 a8 a4 a8 a8 a8 a7 a6 a9 a9 ]</v>
      </c>
      <c r="K5" s="4"/>
    </row>
    <row r="6" spans="1:11">
      <c r="C6" t="s">
        <v>9</v>
      </c>
      <c r="D6">
        <v>21863</v>
      </c>
      <c r="E6" s="1">
        <v>-2.7214999999999998</v>
      </c>
      <c r="F6">
        <v>23773</v>
      </c>
      <c r="G6" t="s">
        <v>21</v>
      </c>
      <c r="H6" t="str">
        <f t="shared" si="0"/>
        <v>[a1 a1 a2 a2 a3 a3 a4 a1 a1 a2 a5 a6 a5 a7 a7 a8 a9 a8 a4 a8 a8 a9 a7 a7 a6 a6 ]</v>
      </c>
      <c r="K6" s="4"/>
    </row>
    <row r="7" spans="1:11">
      <c r="C7" t="s">
        <v>1</v>
      </c>
      <c r="D7">
        <v>21775</v>
      </c>
      <c r="E7" s="1">
        <v>-2.7488999999999999</v>
      </c>
      <c r="F7">
        <v>126498</v>
      </c>
      <c r="G7" t="s">
        <v>17</v>
      </c>
      <c r="H7" t="str">
        <f t="shared" si="0"/>
        <v>[a1 a1 a2 a2 a3 a3 a4 a1 a1 a2 a5 a6 a5 a7 a7 a8 a9 a8 a8 a4 a8 a8 a7 a6 a9 a9 ]</v>
      </c>
      <c r="K7" s="4"/>
    </row>
    <row r="8" spans="1:11">
      <c r="C8" t="s">
        <v>15</v>
      </c>
      <c r="D8">
        <v>21767</v>
      </c>
      <c r="E8" s="1">
        <v>-2.7214999999999998</v>
      </c>
      <c r="F8">
        <v>25965</v>
      </c>
      <c r="G8" t="s">
        <v>24</v>
      </c>
      <c r="H8" t="str">
        <f t="shared" si="0"/>
        <v>[a1 a1 a2 a2 a3 a3 a4 a1 a1 a2 a5 a6 a5 a7 a7 a8 a9 a8 a8 a4 a8 a9 a7 a7 a6 a6 ]</v>
      </c>
      <c r="K8" s="4"/>
    </row>
    <row r="9" spans="1:11">
      <c r="C9" t="s">
        <v>12</v>
      </c>
      <c r="D9">
        <v>22010</v>
      </c>
      <c r="E9" s="1">
        <v>-2.7084000000000001</v>
      </c>
      <c r="F9">
        <v>277013</v>
      </c>
      <c r="G9" t="s">
        <v>23</v>
      </c>
      <c r="H9" t="str">
        <f t="shared" si="0"/>
        <v>[a1 a1 a2 a3 a4 a4 a3 a2 a1 a2 a5 a6 a5 a7 a7 a8 a9 a8 a3 a8 a8 a8 a7 a6 a9 a9 ]</v>
      </c>
      <c r="K9" s="4"/>
    </row>
    <row r="10" spans="1:11">
      <c r="K10" s="4"/>
    </row>
    <row r="11" spans="1:11">
      <c r="A11" t="s">
        <v>20</v>
      </c>
      <c r="B11" t="s">
        <v>36</v>
      </c>
      <c r="C11" t="s">
        <v>1</v>
      </c>
      <c r="D11">
        <v>13948</v>
      </c>
      <c r="E11">
        <v>-2.7488999999999999</v>
      </c>
      <c r="F11">
        <v>1320010</v>
      </c>
      <c r="G11" t="s">
        <v>33</v>
      </c>
      <c r="H11" t="str">
        <f>Normalize(G11)</f>
        <v>[a1 a1 a2 a2 a3 a3 a4 a1 a1 a2 a5 a6 a5 a7 a7 a8 a9 a4 a8 a8 a8 a8 a7 a6 a9 a9 ]</v>
      </c>
      <c r="I11" s="1">
        <f>MIN(E11:E14)</f>
        <v>-2.7488999999999999</v>
      </c>
      <c r="J11" s="1">
        <f>MAX(E11:E14)</f>
        <v>-2.6787999999999998</v>
      </c>
      <c r="K11" s="4">
        <f>COUNT(F11:F16)</f>
        <v>5</v>
      </c>
    </row>
    <row r="12" spans="1:11">
      <c r="C12" t="s">
        <v>10</v>
      </c>
      <c r="D12">
        <v>13823</v>
      </c>
      <c r="E12">
        <v>-2.6787999999999998</v>
      </c>
      <c r="F12">
        <v>25210</v>
      </c>
      <c r="G12" t="s">
        <v>35</v>
      </c>
      <c r="H12" t="str">
        <f>Normalize(G12)</f>
        <v>[a1 a1 a2 a2 a3 a3 a4 a1 a1 a2 a5 a6 a5 a7 a7 a8 a9 a4 a8 a8 a8 a9 a7 a7 a6 a9 ]</v>
      </c>
      <c r="K12" s="4"/>
    </row>
    <row r="13" spans="1:11">
      <c r="C13" t="s">
        <v>0</v>
      </c>
      <c r="D13">
        <v>13932</v>
      </c>
      <c r="E13">
        <v>-2.7488999999999999</v>
      </c>
      <c r="F13">
        <v>156130</v>
      </c>
      <c r="G13" t="s">
        <v>32</v>
      </c>
      <c r="H13" t="str">
        <f>Normalize(G13)</f>
        <v>[a1 a1 a2 a2 a3 a3 a4 a1 a1 a2 a5 a6 a5 a7 a7 a8 a9 a8 a4 a8 a8 a8 a7 a6 a9 a9 ]</v>
      </c>
      <c r="K13" s="4"/>
    </row>
    <row r="14" spans="1:11">
      <c r="C14" t="s">
        <v>2</v>
      </c>
      <c r="D14">
        <v>13871</v>
      </c>
      <c r="E14">
        <v>-2.7488999999999999</v>
      </c>
      <c r="F14">
        <v>248315</v>
      </c>
      <c r="G14" t="s">
        <v>34</v>
      </c>
      <c r="H14" t="str">
        <f>Normalize(G14)</f>
        <v>[a1 a1 a2 a2 a3 a3 a4 a1 a1 a2 a5 a6 a5 a7 a7 a8 a9 a8 a8 a4 a8 a8 a7 a6 a9 a9 ]</v>
      </c>
      <c r="K14" s="4"/>
    </row>
    <row r="15" spans="1:11">
      <c r="K15" s="4"/>
    </row>
    <row r="16" spans="1:11">
      <c r="A16" t="s">
        <v>27</v>
      </c>
      <c r="B16" t="s">
        <v>19</v>
      </c>
      <c r="C16" t="s">
        <v>14</v>
      </c>
      <c r="D16">
        <v>24854</v>
      </c>
      <c r="E16">
        <v>-3.5767000000000002</v>
      </c>
      <c r="F16">
        <v>199361</v>
      </c>
      <c r="G16" t="s">
        <v>31</v>
      </c>
      <c r="H16" t="str">
        <f t="shared" ref="H16:H21" si="1">Normalize(G16)</f>
        <v>[a1 a2 a3 a4 a4 a5 a5 a6 a1 a7 a3 a6 a2 a8 a6 a7 a8 a7 a7 a9 a9 a8 a8 a1 a10 a9 a10 ]</v>
      </c>
      <c r="I16" s="1">
        <f>MIN(E16:E21)</f>
        <v>-3.6025</v>
      </c>
      <c r="J16" s="1">
        <f>MAX(E16:E21)</f>
        <v>-3.5767000000000002</v>
      </c>
      <c r="K16" s="4">
        <f>COUNT(F16:F21)</f>
        <v>6</v>
      </c>
    </row>
    <row r="17" spans="1:11">
      <c r="C17" t="s">
        <v>4</v>
      </c>
      <c r="D17">
        <v>24211</v>
      </c>
      <c r="E17">
        <v>-3.5962999999999998</v>
      </c>
      <c r="F17">
        <v>319818</v>
      </c>
      <c r="G17" t="s">
        <v>28</v>
      </c>
      <c r="H17" t="str">
        <f t="shared" si="1"/>
        <v>[a1 a2 a3 a4 a4 a5 a5 a6 a6 a7 a3 a6 a2 a1 a6 a7 a1 a7 a7 a8 a8 a1 a1 a6 a9 a8 a9 ]</v>
      </c>
      <c r="K17" s="4"/>
    </row>
    <row r="18" spans="1:11">
      <c r="C18" t="s">
        <v>0</v>
      </c>
      <c r="D18">
        <v>24193</v>
      </c>
      <c r="E18">
        <v>-3.5920999999999998</v>
      </c>
      <c r="F18">
        <v>210591</v>
      </c>
      <c r="G18" t="s">
        <v>25</v>
      </c>
      <c r="H18" t="str">
        <f t="shared" si="1"/>
        <v>[a1 a2 a3 a4 a4 a5 a5 a6 a6 a7 a3 a7 a2 a8 a6 a1 a8 a1 a7 a9 a9 a8 a8 a6 a10 a9 a10 ]</v>
      </c>
      <c r="K18" s="4"/>
    </row>
    <row r="19" spans="1:11">
      <c r="C19" t="s">
        <v>13</v>
      </c>
      <c r="D19">
        <v>24653</v>
      </c>
      <c r="E19">
        <v>-3.5884999999999998</v>
      </c>
      <c r="F19">
        <v>1456030</v>
      </c>
      <c r="G19" t="s">
        <v>30</v>
      </c>
      <c r="H19" t="str">
        <f t="shared" si="1"/>
        <v>[a1 a2 a3 a4 a4 a5 a5 a6 a6 a7 a3 a7 a2 a8 a6 a1 a8 a7 a7 a9 a9 a8 a8 a6 a10 a9 a10 ]</v>
      </c>
      <c r="K19" s="4"/>
    </row>
    <row r="20" spans="1:11">
      <c r="C20" t="s">
        <v>11</v>
      </c>
      <c r="D20">
        <v>23762</v>
      </c>
      <c r="E20">
        <v>-3.5785999999999998</v>
      </c>
      <c r="F20">
        <v>118966</v>
      </c>
      <c r="G20" t="s">
        <v>29</v>
      </c>
      <c r="H20" t="str">
        <f t="shared" si="1"/>
        <v>[a1 a2 a3 a4 a4 a5 a5 a6 a6 a7 a3 a7 a2 a8 a7 a1 a8 a1 a7 a9 a9 a8 a8 a1 a10 a9 a10 ]</v>
      </c>
      <c r="K20" s="4"/>
    </row>
    <row r="21" spans="1:11">
      <c r="C21" t="s">
        <v>1</v>
      </c>
      <c r="D21">
        <v>24121</v>
      </c>
      <c r="E21">
        <v>-3.6025</v>
      </c>
      <c r="F21">
        <v>56175</v>
      </c>
      <c r="G21" t="s">
        <v>26</v>
      </c>
      <c r="H21" t="str">
        <f t="shared" si="1"/>
        <v>[a1 a2 a3 a4 a4 a5 a5 a6 a7 a7 a3 a6 a2 a8 a6 a1 a8 a1 a1 a9 a9 a8 a8 a6 a10 a9 a10 ]</v>
      </c>
      <c r="K21" s="4"/>
    </row>
    <row r="22" spans="1:11">
      <c r="K22" s="4"/>
    </row>
    <row r="23" spans="1:11">
      <c r="A23" t="s">
        <v>27</v>
      </c>
      <c r="B23" t="s">
        <v>36</v>
      </c>
      <c r="C23" t="s">
        <v>8</v>
      </c>
      <c r="D23">
        <v>15149</v>
      </c>
      <c r="E23">
        <v>-3.5745</v>
      </c>
      <c r="F23">
        <v>228865</v>
      </c>
      <c r="G23" t="s">
        <v>42</v>
      </c>
      <c r="H23" t="str">
        <f t="shared" ref="H23:H28" si="2">Normalize(G23)</f>
        <v>[a1 a2 a3 a4 a4 a5 a5 a6 a6 a6 a3 a7 a2 a8 a7 a1 a8 a1 a1 a9 a9 a8 a8 a7 a10 a9 a10 ]</v>
      </c>
      <c r="I23" s="1">
        <f>MIN(E23:E28)</f>
        <v>-3.6025</v>
      </c>
      <c r="J23" s="1">
        <f>MAX(E23:E28)</f>
        <v>-3.4756999999999998</v>
      </c>
      <c r="K23" s="4">
        <f>COUNT(F23:F28)</f>
        <v>6</v>
      </c>
    </row>
    <row r="24" spans="1:11">
      <c r="C24" t="s">
        <v>3</v>
      </c>
      <c r="D24">
        <v>15180</v>
      </c>
      <c r="E24">
        <v>-3.4756999999999998</v>
      </c>
      <c r="F24">
        <v>46255</v>
      </c>
      <c r="G24" t="s">
        <v>39</v>
      </c>
      <c r="H24" t="str">
        <f t="shared" si="2"/>
        <v>[a1 a2 a3 a4 a4 a5 a5 a6 a6 a7 a3 a6 a2 a1 a6 a7 a1 a1 a7 a8 a8 a1 a1 a6 a9 a7 a9 ]</v>
      </c>
    </row>
    <row r="25" spans="1:11">
      <c r="C25" t="s">
        <v>1</v>
      </c>
      <c r="D25">
        <v>15086</v>
      </c>
      <c r="E25">
        <v>-3.5962999999999998</v>
      </c>
      <c r="F25">
        <v>29314</v>
      </c>
      <c r="G25" t="s">
        <v>38</v>
      </c>
      <c r="H25" t="str">
        <f t="shared" si="2"/>
        <v>[a1 a2 a3 a4 a4 a5 a5 a6 a6 a7 a3 a6 a2 a1 a6 a7 a1 a7 a7 a8 a8 a1 a1 a6 a9 a8 a9 ]</v>
      </c>
    </row>
    <row r="26" spans="1:11">
      <c r="C26" t="s">
        <v>0</v>
      </c>
      <c r="D26">
        <v>15164</v>
      </c>
      <c r="E26">
        <v>-3.5920999999999998</v>
      </c>
      <c r="F26">
        <v>57565</v>
      </c>
      <c r="G26" t="s">
        <v>37</v>
      </c>
      <c r="H26" t="str">
        <f t="shared" si="2"/>
        <v>[a1 a2 a3 a4 a4 a5 a5 a6 a6 a7 a3 a7 a2 a8 a6 a1 a8 a1 a7 a9 a9 a8 a8 a6 a10 a9 a10 ]</v>
      </c>
    </row>
    <row r="27" spans="1:11">
      <c r="C27" t="s">
        <v>6</v>
      </c>
      <c r="D27">
        <v>15117</v>
      </c>
      <c r="E27">
        <v>-3.5884999999999998</v>
      </c>
      <c r="F27">
        <v>92729</v>
      </c>
      <c r="G27" t="s">
        <v>41</v>
      </c>
      <c r="H27" t="str">
        <f t="shared" si="2"/>
        <v>[a1 a2 a3 a4 a4 a5 a5 a6 a6 a7 a3 a7 a2 a8 a6 a1 a8 a7 a7 a9 a9 a8 a8 a6 a10 a9 a10 ]</v>
      </c>
    </row>
    <row r="28" spans="1:11">
      <c r="C28" t="s">
        <v>5</v>
      </c>
      <c r="D28">
        <v>15149</v>
      </c>
      <c r="E28">
        <v>-3.6025</v>
      </c>
      <c r="F28">
        <v>485899</v>
      </c>
      <c r="G28" t="s">
        <v>40</v>
      </c>
      <c r="H28" t="str">
        <f t="shared" si="2"/>
        <v>[a1 a2 a3 a4 a4 a5 a5 a6 a7 a7 a3 a6 a2 a8 a6 a1 a8 a1 a1 a9 a9 a8 a8 a6 a10 a9 a10 ]</v>
      </c>
    </row>
  </sheetData>
  <sortState ref="A29:H58">
    <sortCondition ref="H29"/>
  </sortState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I11"/>
  <sheetViews>
    <sheetView zoomScale="85" zoomScaleNormal="85" workbookViewId="0"/>
  </sheetViews>
  <sheetFormatPr defaultRowHeight="15"/>
  <cols>
    <col min="1" max="1" width="15.42578125" customWidth="1"/>
    <col min="2" max="2" width="14.28515625" bestFit="1" customWidth="1"/>
    <col min="6" max="6" width="52.140625" bestFit="1" customWidth="1"/>
    <col min="7" max="7" width="75" bestFit="1" customWidth="1"/>
    <col min="8" max="8" width="7.28515625" hidden="1" customWidth="1"/>
    <col min="9" max="9" width="15.28515625" customWidth="1"/>
    <col min="10" max="10" width="16.42578125" customWidth="1"/>
  </cols>
  <sheetData>
    <row r="1" spans="1:9" ht="23.25">
      <c r="A1" s="2" t="s">
        <v>71</v>
      </c>
      <c r="G1" s="3" t="s">
        <v>69</v>
      </c>
    </row>
    <row r="3" spans="1:9">
      <c r="A3" t="s">
        <v>47</v>
      </c>
      <c r="B3" t="s">
        <v>2</v>
      </c>
      <c r="C3">
        <v>22004</v>
      </c>
      <c r="D3">
        <v>-2.7069000000000001</v>
      </c>
      <c r="E3">
        <v>27772</v>
      </c>
      <c r="F3" t="s">
        <v>45</v>
      </c>
      <c r="G3" t="str">
        <f>Normalize(F3)</f>
        <v>[a1 a1 a2 a2 a3 a3 a4 a1 a1 a2 a5 a6 a5 a7 a7 a8 a9 a4 a8 a4 a4 a8 a7 a6 a9 a9 ]</v>
      </c>
    </row>
    <row r="4" spans="1:9">
      <c r="B4" t="s">
        <v>0</v>
      </c>
      <c r="C4">
        <v>22120</v>
      </c>
      <c r="D4">
        <v>-2.7488999999999999</v>
      </c>
      <c r="E4">
        <v>577396</v>
      </c>
      <c r="F4" t="s">
        <v>43</v>
      </c>
      <c r="G4" t="str">
        <f>Normalize(F4)</f>
        <v>[a1 a1 a2 a2 a3 a3 a4 a1 a1 a2 a5 a6 a5 a7 a7 a8 a9 a4 a8 a8 a8 a8 a7 a6 a9 a9 ]</v>
      </c>
    </row>
    <row r="5" spans="1:9">
      <c r="B5" t="s">
        <v>1</v>
      </c>
      <c r="C5">
        <v>21993</v>
      </c>
      <c r="D5">
        <v>-2.7488999999999999</v>
      </c>
      <c r="E5">
        <v>1321816</v>
      </c>
      <c r="F5" t="s">
        <v>44</v>
      </c>
      <c r="G5" t="str">
        <f>Normalize(F5)</f>
        <v>[a1 a1 a2 a2 a3 a3 a4 a1 a1 a2 a5 a6 a5 a7 a7 a8 a9 a8 a4 a8 a8 a8 a7 a6 a9 a9 ]</v>
      </c>
    </row>
    <row r="6" spans="1:9">
      <c r="B6" t="s">
        <v>4</v>
      </c>
      <c r="C6">
        <v>21911</v>
      </c>
      <c r="D6">
        <v>-2.7488999999999999</v>
      </c>
      <c r="E6">
        <v>86619</v>
      </c>
      <c r="F6" t="s">
        <v>46</v>
      </c>
      <c r="G6" t="str">
        <f>Normalize(F6)</f>
        <v>[a1 a1 a2 a2 a3 a3 a4 a1 a1 a2 a5 a6 a5 a7 a7 a8 a9 a8 a8 a4 a8 a8 a7 a6 a9 a9 ]</v>
      </c>
    </row>
    <row r="8" spans="1:9">
      <c r="A8" t="s">
        <v>52</v>
      </c>
      <c r="B8" t="s">
        <v>7</v>
      </c>
      <c r="C8">
        <v>16849</v>
      </c>
      <c r="D8">
        <v>-2.7069000000000001</v>
      </c>
      <c r="E8">
        <v>59294</v>
      </c>
      <c r="F8" t="s">
        <v>51</v>
      </c>
      <c r="G8" t="str">
        <f>Normalize(F8)</f>
        <v>[a1 a1 a2 a2 a3 a3 a4 a1 a1 a2 a5 a6 a5 a7 a7 a8 a9 a4 a8 a4 a4 a8 a7 a6 a9 a9 ]</v>
      </c>
      <c r="I8" t="b">
        <f>G8=G3</f>
        <v>1</v>
      </c>
    </row>
    <row r="9" spans="1:9">
      <c r="B9" t="s">
        <v>1</v>
      </c>
      <c r="C9">
        <v>16880</v>
      </c>
      <c r="D9">
        <v>-2.7488999999999999</v>
      </c>
      <c r="E9">
        <v>515327</v>
      </c>
      <c r="F9" t="s">
        <v>49</v>
      </c>
      <c r="G9" t="str">
        <f>Normalize(F9)</f>
        <v>[a1 a1 a2 a2 a3 a3 a4 a1 a1 a2 a5 a6 a5 a7 a7 a8 a9 a4 a8 a8 a8 a8 a7 a6 a9 a9 ]</v>
      </c>
      <c r="I9" t="b">
        <f t="shared" ref="I9:I11" si="0">G9=G4</f>
        <v>1</v>
      </c>
    </row>
    <row r="10" spans="1:9">
      <c r="B10" t="s">
        <v>0</v>
      </c>
      <c r="C10">
        <v>16833</v>
      </c>
      <c r="D10">
        <v>-2.7488999999999999</v>
      </c>
      <c r="E10">
        <v>362182</v>
      </c>
      <c r="F10" t="s">
        <v>48</v>
      </c>
      <c r="G10" t="str">
        <f>Normalize(F10)</f>
        <v>[a1 a1 a2 a2 a3 a3 a4 a1 a1 a2 a5 a6 a5 a7 a7 a8 a9 a8 a4 a8 a8 a8 a7 a6 a9 a9 ]</v>
      </c>
      <c r="I10" t="b">
        <f t="shared" si="0"/>
        <v>1</v>
      </c>
    </row>
    <row r="11" spans="1:9">
      <c r="B11" t="s">
        <v>4</v>
      </c>
      <c r="C11">
        <v>16802</v>
      </c>
      <c r="D11">
        <v>-2.7488999999999999</v>
      </c>
      <c r="E11">
        <v>193213</v>
      </c>
      <c r="F11" t="s">
        <v>50</v>
      </c>
      <c r="G11" t="str">
        <f>Normalize(F11)</f>
        <v>[a1 a1 a2 a2 a3 a3 a4 a1 a1 a2 a5 a6 a5 a7 a7 a8 a9 a8 a8 a4 a8 a8 a7 a6 a9 a9 ]</v>
      </c>
      <c r="I11" t="b">
        <f t="shared" si="0"/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dimension ref="A1:J45"/>
  <sheetViews>
    <sheetView zoomScale="85" zoomScaleNormal="85" workbookViewId="0"/>
  </sheetViews>
  <sheetFormatPr defaultRowHeight="15"/>
  <cols>
    <col min="6" max="6" width="49.28515625" bestFit="1" customWidth="1"/>
    <col min="8" max="10" width="15" customWidth="1"/>
  </cols>
  <sheetData>
    <row r="1" spans="1:10" ht="23.25">
      <c r="A1" s="2" t="s">
        <v>65</v>
      </c>
      <c r="H1" s="3" t="s">
        <v>69</v>
      </c>
    </row>
    <row r="3" spans="1:10">
      <c r="A3" t="s">
        <v>54</v>
      </c>
      <c r="B3" t="s">
        <v>0</v>
      </c>
      <c r="C3">
        <v>15375</v>
      </c>
      <c r="D3">
        <v>-2.7488999999999999</v>
      </c>
      <c r="E3">
        <v>362182</v>
      </c>
      <c r="F3" t="s">
        <v>48</v>
      </c>
    </row>
    <row r="4" spans="1:10">
      <c r="B4" t="s">
        <v>1</v>
      </c>
      <c r="C4">
        <v>13275</v>
      </c>
      <c r="D4">
        <v>-2.7488999999999999</v>
      </c>
      <c r="E4">
        <v>515327</v>
      </c>
      <c r="F4" t="s">
        <v>49</v>
      </c>
    </row>
    <row r="5" spans="1:10">
      <c r="B5" t="s">
        <v>2</v>
      </c>
      <c r="C5">
        <v>13098</v>
      </c>
      <c r="D5">
        <v>-2.7488999999999999</v>
      </c>
      <c r="E5">
        <v>251511</v>
      </c>
      <c r="F5" t="s">
        <v>55</v>
      </c>
    </row>
    <row r="6" spans="1:10">
      <c r="B6" t="s">
        <v>56</v>
      </c>
      <c r="C6">
        <v>13190</v>
      </c>
      <c r="D6">
        <v>-2.7488999999999999</v>
      </c>
      <c r="E6">
        <v>84999</v>
      </c>
      <c r="F6" t="s">
        <v>57</v>
      </c>
    </row>
    <row r="7" spans="1:10">
      <c r="B7" t="s">
        <v>3</v>
      </c>
      <c r="C7">
        <v>13348</v>
      </c>
      <c r="D7">
        <v>-2.7488999999999999</v>
      </c>
      <c r="E7">
        <v>675256</v>
      </c>
      <c r="F7" t="s">
        <v>58</v>
      </c>
    </row>
    <row r="8" spans="1:10">
      <c r="B8" t="s">
        <v>4</v>
      </c>
      <c r="C8">
        <v>13472</v>
      </c>
      <c r="D8">
        <v>-2.7488999999999999</v>
      </c>
      <c r="E8">
        <v>193213</v>
      </c>
      <c r="F8" t="s">
        <v>50</v>
      </c>
    </row>
    <row r="9" spans="1:10">
      <c r="B9" t="s">
        <v>5</v>
      </c>
      <c r="C9">
        <v>13715</v>
      </c>
      <c r="D9">
        <v>-2.7488999999999999</v>
      </c>
      <c r="E9">
        <v>202236</v>
      </c>
      <c r="F9" t="s">
        <v>59</v>
      </c>
    </row>
    <row r="10" spans="1:10">
      <c r="B10" t="s">
        <v>60</v>
      </c>
      <c r="C10">
        <v>13009</v>
      </c>
      <c r="D10">
        <v>-2.7488999999999999</v>
      </c>
      <c r="E10">
        <v>20676</v>
      </c>
      <c r="F10" t="s">
        <v>61</v>
      </c>
    </row>
    <row r="11" spans="1:10">
      <c r="B11" t="s">
        <v>6</v>
      </c>
      <c r="C11">
        <v>12973</v>
      </c>
      <c r="D11">
        <v>-2.7488999999999999</v>
      </c>
      <c r="E11">
        <v>208450</v>
      </c>
      <c r="F11" t="s">
        <v>62</v>
      </c>
    </row>
    <row r="12" spans="1:10">
      <c r="B12" t="s">
        <v>63</v>
      </c>
      <c r="C12">
        <v>13137</v>
      </c>
      <c r="D12">
        <v>-2.7488999999999999</v>
      </c>
      <c r="E12">
        <v>297613</v>
      </c>
      <c r="F12" t="s">
        <v>64</v>
      </c>
    </row>
    <row r="14" spans="1:10">
      <c r="A14" t="s">
        <v>66</v>
      </c>
      <c r="B14" t="s">
        <v>0</v>
      </c>
      <c r="C14">
        <v>14117</v>
      </c>
      <c r="D14">
        <v>-2.7488999999999999</v>
      </c>
      <c r="E14">
        <v>362182</v>
      </c>
      <c r="F14" t="s">
        <v>48</v>
      </c>
      <c r="H14" t="b">
        <f>D14=D3</f>
        <v>1</v>
      </c>
      <c r="I14" t="b">
        <f>E14=E3</f>
        <v>1</v>
      </c>
      <c r="J14" t="b">
        <f>F14=F3</f>
        <v>1</v>
      </c>
    </row>
    <row r="15" spans="1:10">
      <c r="B15" t="s">
        <v>1</v>
      </c>
      <c r="C15">
        <v>13066</v>
      </c>
      <c r="D15">
        <v>-2.7488999999999999</v>
      </c>
      <c r="E15">
        <v>515327</v>
      </c>
      <c r="F15" t="s">
        <v>49</v>
      </c>
      <c r="H15" t="b">
        <f>D15=D4</f>
        <v>1</v>
      </c>
      <c r="I15" t="b">
        <f>E15=E4</f>
        <v>1</v>
      </c>
      <c r="J15" t="b">
        <f>F15=F4</f>
        <v>1</v>
      </c>
    </row>
    <row r="16" spans="1:10">
      <c r="B16" t="s">
        <v>2</v>
      </c>
      <c r="C16">
        <v>13062</v>
      </c>
      <c r="D16">
        <v>-2.7488999999999999</v>
      </c>
      <c r="E16">
        <v>251511</v>
      </c>
      <c r="F16" t="s">
        <v>55</v>
      </c>
      <c r="H16" t="b">
        <f t="shared" ref="H16:J16" si="0">D16=D5</f>
        <v>1</v>
      </c>
      <c r="I16" t="b">
        <f t="shared" si="0"/>
        <v>1</v>
      </c>
      <c r="J16" t="b">
        <f t="shared" si="0"/>
        <v>1</v>
      </c>
    </row>
    <row r="17" spans="1:10">
      <c r="B17" t="s">
        <v>56</v>
      </c>
      <c r="C17">
        <v>13122</v>
      </c>
      <c r="D17">
        <v>-2.7488999999999999</v>
      </c>
      <c r="E17">
        <v>84999</v>
      </c>
      <c r="F17" t="s">
        <v>57</v>
      </c>
      <c r="H17" t="b">
        <f t="shared" ref="H17:J17" si="1">D17=D6</f>
        <v>1</v>
      </c>
      <c r="I17" t="b">
        <f t="shared" si="1"/>
        <v>1</v>
      </c>
      <c r="J17" t="b">
        <f t="shared" si="1"/>
        <v>1</v>
      </c>
    </row>
    <row r="18" spans="1:10">
      <c r="B18" t="s">
        <v>3</v>
      </c>
      <c r="C18">
        <v>13023</v>
      </c>
      <c r="D18">
        <v>-2.7488999999999999</v>
      </c>
      <c r="E18">
        <v>675256</v>
      </c>
      <c r="F18" t="s">
        <v>58</v>
      </c>
      <c r="H18" t="b">
        <f t="shared" ref="H18:J18" si="2">D18=D7</f>
        <v>1</v>
      </c>
      <c r="I18" t="b">
        <f t="shared" si="2"/>
        <v>1</v>
      </c>
      <c r="J18" t="b">
        <f t="shared" si="2"/>
        <v>1</v>
      </c>
    </row>
    <row r="19" spans="1:10">
      <c r="B19" t="s">
        <v>4</v>
      </c>
      <c r="C19">
        <v>13266</v>
      </c>
      <c r="D19">
        <v>-2.7488999999999999</v>
      </c>
      <c r="E19">
        <v>193213</v>
      </c>
      <c r="F19" t="s">
        <v>50</v>
      </c>
      <c r="H19" t="b">
        <f t="shared" ref="H19:J19" si="3">D19=D8</f>
        <v>1</v>
      </c>
      <c r="I19" t="b">
        <f t="shared" si="3"/>
        <v>1</v>
      </c>
      <c r="J19" t="b">
        <f t="shared" si="3"/>
        <v>1</v>
      </c>
    </row>
    <row r="20" spans="1:10">
      <c r="B20" t="s">
        <v>5</v>
      </c>
      <c r="C20">
        <v>13033</v>
      </c>
      <c r="D20">
        <v>-2.7488999999999999</v>
      </c>
      <c r="E20">
        <v>202236</v>
      </c>
      <c r="F20" t="s">
        <v>59</v>
      </c>
      <c r="H20" t="b">
        <f t="shared" ref="H20:J20" si="4">D20=D9</f>
        <v>1</v>
      </c>
      <c r="I20" t="b">
        <f t="shared" si="4"/>
        <v>1</v>
      </c>
      <c r="J20" t="b">
        <f t="shared" si="4"/>
        <v>1</v>
      </c>
    </row>
    <row r="21" spans="1:10">
      <c r="B21" t="s">
        <v>60</v>
      </c>
      <c r="C21">
        <v>12991</v>
      </c>
      <c r="D21">
        <v>-2.7488999999999999</v>
      </c>
      <c r="E21">
        <v>20676</v>
      </c>
      <c r="F21" t="s">
        <v>61</v>
      </c>
      <c r="H21" t="b">
        <f t="shared" ref="H21:J21" si="5">D21=D10</f>
        <v>1</v>
      </c>
      <c r="I21" t="b">
        <f t="shared" si="5"/>
        <v>1</v>
      </c>
      <c r="J21" t="b">
        <f t="shared" si="5"/>
        <v>1</v>
      </c>
    </row>
    <row r="22" spans="1:10">
      <c r="B22" t="s">
        <v>6</v>
      </c>
      <c r="C22">
        <v>12990</v>
      </c>
      <c r="D22">
        <v>-2.7488999999999999</v>
      </c>
      <c r="E22">
        <v>208450</v>
      </c>
      <c r="F22" t="s">
        <v>62</v>
      </c>
      <c r="H22" t="b">
        <f t="shared" ref="H22:J22" si="6">D22=D11</f>
        <v>1</v>
      </c>
      <c r="I22" t="b">
        <f t="shared" si="6"/>
        <v>1</v>
      </c>
      <c r="J22" t="b">
        <f t="shared" si="6"/>
        <v>1</v>
      </c>
    </row>
    <row r="23" spans="1:10">
      <c r="B23" t="s">
        <v>63</v>
      </c>
      <c r="C23">
        <v>13086</v>
      </c>
      <c r="D23">
        <v>-2.7488999999999999</v>
      </c>
      <c r="E23">
        <v>297613</v>
      </c>
      <c r="F23" t="s">
        <v>64</v>
      </c>
      <c r="H23" t="b">
        <f t="shared" ref="H23:J23" si="7">D23=D12</f>
        <v>1</v>
      </c>
      <c r="I23" t="b">
        <f t="shared" si="7"/>
        <v>1</v>
      </c>
      <c r="J23" t="b">
        <f t="shared" si="7"/>
        <v>1</v>
      </c>
    </row>
    <row r="25" spans="1:10">
      <c r="A25" t="s">
        <v>67</v>
      </c>
      <c r="B25" t="s">
        <v>0</v>
      </c>
      <c r="C25">
        <v>13282</v>
      </c>
      <c r="D25">
        <v>-2.7488999999999999</v>
      </c>
      <c r="E25">
        <v>362182</v>
      </c>
      <c r="F25" t="s">
        <v>48</v>
      </c>
      <c r="H25" t="b">
        <f>D25=D14</f>
        <v>1</v>
      </c>
      <c r="I25" t="b">
        <f>E25=E14</f>
        <v>1</v>
      </c>
      <c r="J25" t="b">
        <f>F25=F14</f>
        <v>1</v>
      </c>
    </row>
    <row r="26" spans="1:10">
      <c r="B26" t="s">
        <v>1</v>
      </c>
      <c r="C26">
        <v>12995</v>
      </c>
      <c r="D26">
        <v>-2.7488999999999999</v>
      </c>
      <c r="E26">
        <v>515327</v>
      </c>
      <c r="F26" t="s">
        <v>49</v>
      </c>
      <c r="H26" t="b">
        <f>D26=D15</f>
        <v>1</v>
      </c>
      <c r="I26" t="b">
        <f>E26=E15</f>
        <v>1</v>
      </c>
      <c r="J26" t="b">
        <f>F26=F15</f>
        <v>1</v>
      </c>
    </row>
    <row r="27" spans="1:10">
      <c r="B27" t="s">
        <v>2</v>
      </c>
      <c r="C27">
        <v>13100</v>
      </c>
      <c r="D27">
        <v>-2.7488999999999999</v>
      </c>
      <c r="E27">
        <v>251511</v>
      </c>
      <c r="F27" t="s">
        <v>55</v>
      </c>
      <c r="H27" t="b">
        <f t="shared" ref="H27:H34" si="8">D27=D16</f>
        <v>1</v>
      </c>
      <c r="I27" t="b">
        <f t="shared" ref="I27:I34" si="9">E27=E16</f>
        <v>1</v>
      </c>
      <c r="J27" t="b">
        <f t="shared" ref="J27:J34" si="10">F27=F16</f>
        <v>1</v>
      </c>
    </row>
    <row r="28" spans="1:10">
      <c r="B28" t="s">
        <v>56</v>
      </c>
      <c r="C28">
        <v>13145</v>
      </c>
      <c r="D28">
        <v>-2.7488999999999999</v>
      </c>
      <c r="E28">
        <v>84999</v>
      </c>
      <c r="F28" t="s">
        <v>57</v>
      </c>
      <c r="H28" t="b">
        <f t="shared" si="8"/>
        <v>1</v>
      </c>
      <c r="I28" t="b">
        <f t="shared" si="9"/>
        <v>1</v>
      </c>
      <c r="J28" t="b">
        <f t="shared" si="10"/>
        <v>1</v>
      </c>
    </row>
    <row r="29" spans="1:10">
      <c r="B29" t="s">
        <v>3</v>
      </c>
      <c r="C29">
        <v>13136</v>
      </c>
      <c r="D29">
        <v>-2.7488999999999999</v>
      </c>
      <c r="E29">
        <v>675256</v>
      </c>
      <c r="F29" t="s">
        <v>58</v>
      </c>
      <c r="H29" t="b">
        <f t="shared" si="8"/>
        <v>1</v>
      </c>
      <c r="I29" t="b">
        <f t="shared" si="9"/>
        <v>1</v>
      </c>
      <c r="J29" t="b">
        <f t="shared" si="10"/>
        <v>1</v>
      </c>
    </row>
    <row r="30" spans="1:10">
      <c r="B30" t="s">
        <v>4</v>
      </c>
      <c r="C30">
        <v>13232</v>
      </c>
      <c r="D30">
        <v>-2.7488999999999999</v>
      </c>
      <c r="E30">
        <v>193213</v>
      </c>
      <c r="F30" t="s">
        <v>50</v>
      </c>
      <c r="H30" t="b">
        <f t="shared" si="8"/>
        <v>1</v>
      </c>
      <c r="I30" t="b">
        <f t="shared" si="9"/>
        <v>1</v>
      </c>
      <c r="J30" t="b">
        <f t="shared" si="10"/>
        <v>1</v>
      </c>
    </row>
    <row r="31" spans="1:10">
      <c r="B31" t="s">
        <v>5</v>
      </c>
      <c r="C31">
        <v>13066</v>
      </c>
      <c r="D31">
        <v>-2.7488999999999999</v>
      </c>
      <c r="E31">
        <v>202236</v>
      </c>
      <c r="F31" t="s">
        <v>59</v>
      </c>
      <c r="H31" t="b">
        <f t="shared" si="8"/>
        <v>1</v>
      </c>
      <c r="I31" t="b">
        <f t="shared" si="9"/>
        <v>1</v>
      </c>
      <c r="J31" t="b">
        <f t="shared" si="10"/>
        <v>1</v>
      </c>
    </row>
    <row r="32" spans="1:10">
      <c r="B32" t="s">
        <v>60</v>
      </c>
      <c r="C32">
        <v>13066</v>
      </c>
      <c r="D32">
        <v>-2.7488999999999999</v>
      </c>
      <c r="E32">
        <v>20676</v>
      </c>
      <c r="F32" t="s">
        <v>61</v>
      </c>
      <c r="H32" t="b">
        <f t="shared" si="8"/>
        <v>1</v>
      </c>
      <c r="I32" t="b">
        <f t="shared" si="9"/>
        <v>1</v>
      </c>
      <c r="J32" t="b">
        <f t="shared" si="10"/>
        <v>1</v>
      </c>
    </row>
    <row r="33" spans="1:10">
      <c r="B33" t="s">
        <v>6</v>
      </c>
      <c r="C33">
        <v>13054</v>
      </c>
      <c r="D33">
        <v>-2.7488999999999999</v>
      </c>
      <c r="E33">
        <v>208450</v>
      </c>
      <c r="F33" t="s">
        <v>62</v>
      </c>
      <c r="H33" t="b">
        <f t="shared" si="8"/>
        <v>1</v>
      </c>
      <c r="I33" t="b">
        <f t="shared" si="9"/>
        <v>1</v>
      </c>
      <c r="J33" t="b">
        <f t="shared" si="10"/>
        <v>1</v>
      </c>
    </row>
    <row r="34" spans="1:10">
      <c r="B34" t="s">
        <v>63</v>
      </c>
      <c r="C34">
        <v>13438</v>
      </c>
      <c r="D34">
        <v>-2.7488999999999999</v>
      </c>
      <c r="E34">
        <v>297613</v>
      </c>
      <c r="F34" t="s">
        <v>64</v>
      </c>
      <c r="H34" t="b">
        <f t="shared" si="8"/>
        <v>1</v>
      </c>
      <c r="I34" t="b">
        <f t="shared" si="9"/>
        <v>1</v>
      </c>
      <c r="J34" t="b">
        <f t="shared" si="10"/>
        <v>1</v>
      </c>
    </row>
    <row r="36" spans="1:10">
      <c r="A36" t="s">
        <v>70</v>
      </c>
      <c r="B36" t="s">
        <v>0</v>
      </c>
      <c r="C36">
        <v>13312</v>
      </c>
      <c r="D36">
        <v>-2.7488999999999999</v>
      </c>
      <c r="E36">
        <v>362182</v>
      </c>
      <c r="F36" t="s">
        <v>48</v>
      </c>
      <c r="H36" t="b">
        <f>D36=D25</f>
        <v>1</v>
      </c>
      <c r="I36" t="b">
        <f>E36=E25</f>
        <v>1</v>
      </c>
      <c r="J36" t="b">
        <f>F36=F25</f>
        <v>1</v>
      </c>
    </row>
    <row r="37" spans="1:10">
      <c r="B37" t="s">
        <v>1</v>
      </c>
      <c r="C37">
        <v>13350</v>
      </c>
      <c r="D37">
        <v>-2.7488999999999999</v>
      </c>
      <c r="E37">
        <v>515327</v>
      </c>
      <c r="F37" t="s">
        <v>49</v>
      </c>
      <c r="H37" t="b">
        <f>D37=D26</f>
        <v>1</v>
      </c>
      <c r="I37" t="b">
        <f>E37=E26</f>
        <v>1</v>
      </c>
      <c r="J37" t="b">
        <f>F37=F26</f>
        <v>1</v>
      </c>
    </row>
    <row r="38" spans="1:10">
      <c r="B38" t="s">
        <v>2</v>
      </c>
      <c r="C38">
        <v>13167</v>
      </c>
      <c r="D38">
        <v>-2.7488999999999999</v>
      </c>
      <c r="E38">
        <v>251511</v>
      </c>
      <c r="F38" t="s">
        <v>55</v>
      </c>
      <c r="H38" t="b">
        <f t="shared" ref="H38:H45" si="11">D38=D27</f>
        <v>1</v>
      </c>
      <c r="I38" t="b">
        <f t="shared" ref="I38:I45" si="12">E38=E27</f>
        <v>1</v>
      </c>
      <c r="J38" t="b">
        <f t="shared" ref="J38:J45" si="13">F38=F27</f>
        <v>1</v>
      </c>
    </row>
    <row r="39" spans="1:10">
      <c r="B39" t="s">
        <v>56</v>
      </c>
      <c r="C39">
        <v>13096</v>
      </c>
      <c r="D39">
        <v>-2.7488999999999999</v>
      </c>
      <c r="E39">
        <v>84999</v>
      </c>
      <c r="F39" t="s">
        <v>57</v>
      </c>
      <c r="H39" t="b">
        <f t="shared" si="11"/>
        <v>1</v>
      </c>
      <c r="I39" t="b">
        <f t="shared" si="12"/>
        <v>1</v>
      </c>
      <c r="J39" t="b">
        <f t="shared" si="13"/>
        <v>1</v>
      </c>
    </row>
    <row r="40" spans="1:10">
      <c r="B40" t="s">
        <v>3</v>
      </c>
      <c r="C40">
        <v>12955</v>
      </c>
      <c r="D40">
        <v>-2.7488999999999999</v>
      </c>
      <c r="E40">
        <v>675256</v>
      </c>
      <c r="F40" t="s">
        <v>58</v>
      </c>
      <c r="H40" t="b">
        <f t="shared" si="11"/>
        <v>1</v>
      </c>
      <c r="I40" t="b">
        <f t="shared" si="12"/>
        <v>1</v>
      </c>
      <c r="J40" t="b">
        <f t="shared" si="13"/>
        <v>1</v>
      </c>
    </row>
    <row r="41" spans="1:10">
      <c r="B41" t="s">
        <v>4</v>
      </c>
      <c r="C41">
        <v>13143</v>
      </c>
      <c r="D41">
        <v>-2.7488999999999999</v>
      </c>
      <c r="E41">
        <v>193213</v>
      </c>
      <c r="F41" t="s">
        <v>50</v>
      </c>
      <c r="H41" t="b">
        <f t="shared" si="11"/>
        <v>1</v>
      </c>
      <c r="I41" t="b">
        <f t="shared" si="12"/>
        <v>1</v>
      </c>
      <c r="J41" t="b">
        <f t="shared" si="13"/>
        <v>1</v>
      </c>
    </row>
    <row r="42" spans="1:10">
      <c r="B42" t="s">
        <v>5</v>
      </c>
      <c r="C42">
        <v>13057</v>
      </c>
      <c r="D42">
        <v>-2.7488999999999999</v>
      </c>
      <c r="E42">
        <v>202236</v>
      </c>
      <c r="F42" t="s">
        <v>59</v>
      </c>
      <c r="H42" t="b">
        <f t="shared" si="11"/>
        <v>1</v>
      </c>
      <c r="I42" t="b">
        <f t="shared" si="12"/>
        <v>1</v>
      </c>
      <c r="J42" t="b">
        <f t="shared" si="13"/>
        <v>1</v>
      </c>
    </row>
    <row r="43" spans="1:10">
      <c r="B43" t="s">
        <v>60</v>
      </c>
      <c r="C43">
        <v>13022</v>
      </c>
      <c r="D43">
        <v>-2.7488999999999999</v>
      </c>
      <c r="E43">
        <v>20676</v>
      </c>
      <c r="F43" t="s">
        <v>61</v>
      </c>
      <c r="H43" t="b">
        <f t="shared" si="11"/>
        <v>1</v>
      </c>
      <c r="I43" t="b">
        <f t="shared" si="12"/>
        <v>1</v>
      </c>
      <c r="J43" t="b">
        <f t="shared" si="13"/>
        <v>1</v>
      </c>
    </row>
    <row r="44" spans="1:10">
      <c r="B44" t="s">
        <v>6</v>
      </c>
      <c r="C44">
        <v>12980</v>
      </c>
      <c r="D44">
        <v>-2.7488999999999999</v>
      </c>
      <c r="E44">
        <v>208450</v>
      </c>
      <c r="F44" t="s">
        <v>62</v>
      </c>
      <c r="H44" t="b">
        <f t="shared" si="11"/>
        <v>1</v>
      </c>
      <c r="I44" t="b">
        <f t="shared" si="12"/>
        <v>1</v>
      </c>
      <c r="J44" t="b">
        <f t="shared" si="13"/>
        <v>1</v>
      </c>
    </row>
    <row r="45" spans="1:10">
      <c r="B45" t="s">
        <v>63</v>
      </c>
      <c r="C45">
        <v>12997</v>
      </c>
      <c r="D45">
        <v>-2.7488999999999999</v>
      </c>
      <c r="E45">
        <v>297613</v>
      </c>
      <c r="F45" t="s">
        <v>64</v>
      </c>
      <c r="H45" t="b">
        <f t="shared" si="11"/>
        <v>1</v>
      </c>
      <c r="I45" t="b">
        <f t="shared" si="12"/>
        <v>1</v>
      </c>
      <c r="J45" t="b">
        <f t="shared" si="13"/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dimension ref="A1:J23"/>
  <sheetViews>
    <sheetView tabSelected="1" zoomScale="85" zoomScaleNormal="85" workbookViewId="0"/>
  </sheetViews>
  <sheetFormatPr defaultRowHeight="15"/>
  <cols>
    <col min="6" max="6" width="45.7109375" bestFit="1" customWidth="1"/>
    <col min="8" max="8" width="12.5703125" bestFit="1" customWidth="1"/>
    <col min="10" max="10" width="12.5703125" bestFit="1" customWidth="1"/>
  </cols>
  <sheetData>
    <row r="1" spans="1:10" ht="23.25">
      <c r="A1" s="2" t="s">
        <v>72</v>
      </c>
      <c r="H1" s="3" t="s">
        <v>69</v>
      </c>
    </row>
    <row r="3" spans="1:10">
      <c r="A3" t="s">
        <v>54</v>
      </c>
      <c r="B3" t="s">
        <v>0</v>
      </c>
      <c r="C3">
        <v>9442</v>
      </c>
      <c r="D3">
        <v>-2.411</v>
      </c>
      <c r="E3">
        <v>17890</v>
      </c>
      <c r="F3" t="s">
        <v>73</v>
      </c>
    </row>
    <row r="4" spans="1:10">
      <c r="B4" t="s">
        <v>1</v>
      </c>
      <c r="C4">
        <v>9140</v>
      </c>
      <c r="D4">
        <v>-2.411</v>
      </c>
      <c r="E4">
        <v>17890</v>
      </c>
      <c r="F4" t="s">
        <v>73</v>
      </c>
      <c r="H4" t="b">
        <f>F4=F3</f>
        <v>1</v>
      </c>
    </row>
    <row r="5" spans="1:10">
      <c r="B5" t="s">
        <v>2</v>
      </c>
      <c r="C5">
        <v>9153</v>
      </c>
      <c r="D5">
        <v>-2.411</v>
      </c>
      <c r="E5">
        <v>17890</v>
      </c>
      <c r="F5" t="s">
        <v>73</v>
      </c>
      <c r="H5" t="b">
        <f t="shared" ref="H5:H12" si="0">F5=F4</f>
        <v>1</v>
      </c>
    </row>
    <row r="6" spans="1:10">
      <c r="B6" t="s">
        <v>56</v>
      </c>
      <c r="C6">
        <v>9151</v>
      </c>
      <c r="D6">
        <v>-2.411</v>
      </c>
      <c r="E6">
        <v>17890</v>
      </c>
      <c r="F6" t="s">
        <v>73</v>
      </c>
      <c r="H6" t="b">
        <f t="shared" si="0"/>
        <v>1</v>
      </c>
    </row>
    <row r="7" spans="1:10">
      <c r="B7" t="s">
        <v>3</v>
      </c>
      <c r="C7">
        <v>9067</v>
      </c>
      <c r="D7">
        <v>-2.411</v>
      </c>
      <c r="E7">
        <v>17890</v>
      </c>
      <c r="F7" t="s">
        <v>73</v>
      </c>
      <c r="H7" t="b">
        <f t="shared" si="0"/>
        <v>1</v>
      </c>
    </row>
    <row r="8" spans="1:10">
      <c r="B8" t="s">
        <v>4</v>
      </c>
      <c r="C8">
        <v>9085</v>
      </c>
      <c r="D8">
        <v>-2.411</v>
      </c>
      <c r="E8">
        <v>17890</v>
      </c>
      <c r="F8" t="s">
        <v>73</v>
      </c>
      <c r="H8" t="b">
        <f t="shared" si="0"/>
        <v>1</v>
      </c>
    </row>
    <row r="9" spans="1:10">
      <c r="B9" t="s">
        <v>5</v>
      </c>
      <c r="C9">
        <v>8990</v>
      </c>
      <c r="D9">
        <v>-2.411</v>
      </c>
      <c r="E9">
        <v>17890</v>
      </c>
      <c r="F9" t="s">
        <v>73</v>
      </c>
      <c r="H9" t="b">
        <f t="shared" si="0"/>
        <v>1</v>
      </c>
    </row>
    <row r="10" spans="1:10">
      <c r="B10" t="s">
        <v>60</v>
      </c>
      <c r="C10">
        <v>9065</v>
      </c>
      <c r="D10">
        <v>-2.411</v>
      </c>
      <c r="E10">
        <v>17890</v>
      </c>
      <c r="F10" t="s">
        <v>73</v>
      </c>
      <c r="H10" t="b">
        <f t="shared" si="0"/>
        <v>1</v>
      </c>
    </row>
    <row r="11" spans="1:10">
      <c r="B11" t="s">
        <v>6</v>
      </c>
      <c r="C11">
        <v>9015</v>
      </c>
      <c r="D11">
        <v>-2.411</v>
      </c>
      <c r="E11">
        <v>17890</v>
      </c>
      <c r="F11" t="s">
        <v>73</v>
      </c>
      <c r="H11" t="b">
        <f t="shared" si="0"/>
        <v>1</v>
      </c>
    </row>
    <row r="12" spans="1:10">
      <c r="B12" t="s">
        <v>63</v>
      </c>
      <c r="C12">
        <v>9471</v>
      </c>
      <c r="D12">
        <v>-2.411</v>
      </c>
      <c r="E12">
        <v>17890</v>
      </c>
      <c r="F12" t="s">
        <v>73</v>
      </c>
      <c r="H12" t="b">
        <f t="shared" si="0"/>
        <v>1</v>
      </c>
    </row>
    <row r="14" spans="1:10">
      <c r="A14" t="s">
        <v>66</v>
      </c>
      <c r="B14" t="s">
        <v>0</v>
      </c>
      <c r="C14">
        <v>9187</v>
      </c>
      <c r="D14">
        <v>-2.411</v>
      </c>
      <c r="E14">
        <v>17890</v>
      </c>
      <c r="F14" t="s">
        <v>73</v>
      </c>
      <c r="J14" t="b">
        <f>F14=F3</f>
        <v>1</v>
      </c>
    </row>
    <row r="15" spans="1:10">
      <c r="B15" t="s">
        <v>1</v>
      </c>
      <c r="C15">
        <v>9221</v>
      </c>
      <c r="D15">
        <v>-2.411</v>
      </c>
      <c r="E15">
        <v>17890</v>
      </c>
      <c r="F15" t="s">
        <v>73</v>
      </c>
      <c r="H15" t="b">
        <f>F15=F14</f>
        <v>1</v>
      </c>
      <c r="J15" t="b">
        <f t="shared" ref="J15:J23" si="1">F15=F4</f>
        <v>1</v>
      </c>
    </row>
    <row r="16" spans="1:10">
      <c r="B16" t="s">
        <v>2</v>
      </c>
      <c r="C16">
        <v>9038</v>
      </c>
      <c r="D16">
        <v>-2.411</v>
      </c>
      <c r="E16">
        <v>17890</v>
      </c>
      <c r="F16" t="s">
        <v>73</v>
      </c>
      <c r="H16" t="b">
        <f t="shared" ref="H16:H23" si="2">F16=F15</f>
        <v>1</v>
      </c>
      <c r="J16" t="b">
        <f t="shared" si="1"/>
        <v>1</v>
      </c>
    </row>
    <row r="17" spans="2:10">
      <c r="B17" t="s">
        <v>56</v>
      </c>
      <c r="C17">
        <v>8964</v>
      </c>
      <c r="D17">
        <v>-2.411</v>
      </c>
      <c r="E17">
        <v>17890</v>
      </c>
      <c r="F17" t="s">
        <v>73</v>
      </c>
      <c r="H17" t="b">
        <f t="shared" si="2"/>
        <v>1</v>
      </c>
      <c r="J17" t="b">
        <f t="shared" si="1"/>
        <v>1</v>
      </c>
    </row>
    <row r="18" spans="2:10">
      <c r="B18" t="s">
        <v>3</v>
      </c>
      <c r="C18">
        <v>9004</v>
      </c>
      <c r="D18">
        <v>-2.411</v>
      </c>
      <c r="E18">
        <v>17890</v>
      </c>
      <c r="F18" t="s">
        <v>73</v>
      </c>
      <c r="H18" t="b">
        <f t="shared" si="2"/>
        <v>1</v>
      </c>
      <c r="J18" t="b">
        <f t="shared" si="1"/>
        <v>1</v>
      </c>
    </row>
    <row r="19" spans="2:10">
      <c r="B19" t="s">
        <v>4</v>
      </c>
      <c r="C19">
        <v>9036</v>
      </c>
      <c r="D19">
        <v>-2.411</v>
      </c>
      <c r="E19">
        <v>17890</v>
      </c>
      <c r="F19" t="s">
        <v>73</v>
      </c>
      <c r="H19" t="b">
        <f t="shared" si="2"/>
        <v>1</v>
      </c>
      <c r="J19" t="b">
        <f t="shared" si="1"/>
        <v>1</v>
      </c>
    </row>
    <row r="20" spans="2:10">
      <c r="B20" t="s">
        <v>5</v>
      </c>
      <c r="C20">
        <v>9017</v>
      </c>
      <c r="D20">
        <v>-2.411</v>
      </c>
      <c r="E20">
        <v>17890</v>
      </c>
      <c r="F20" t="s">
        <v>73</v>
      </c>
      <c r="H20" t="b">
        <f t="shared" si="2"/>
        <v>1</v>
      </c>
      <c r="J20" t="b">
        <f t="shared" si="1"/>
        <v>1</v>
      </c>
    </row>
    <row r="21" spans="2:10">
      <c r="B21" t="s">
        <v>60</v>
      </c>
      <c r="C21">
        <v>9052</v>
      </c>
      <c r="D21">
        <v>-2.411</v>
      </c>
      <c r="E21">
        <v>17890</v>
      </c>
      <c r="F21" t="s">
        <v>73</v>
      </c>
      <c r="H21" t="b">
        <f t="shared" si="2"/>
        <v>1</v>
      </c>
      <c r="J21" t="b">
        <f t="shared" si="1"/>
        <v>1</v>
      </c>
    </row>
    <row r="22" spans="2:10">
      <c r="B22" t="s">
        <v>6</v>
      </c>
      <c r="C22">
        <v>9173</v>
      </c>
      <c r="D22">
        <v>-2.411</v>
      </c>
      <c r="E22">
        <v>17890</v>
      </c>
      <c r="F22" t="s">
        <v>73</v>
      </c>
      <c r="H22" t="b">
        <f t="shared" si="2"/>
        <v>1</v>
      </c>
      <c r="J22" t="b">
        <f t="shared" si="1"/>
        <v>1</v>
      </c>
    </row>
    <row r="23" spans="2:10">
      <c r="B23" t="s">
        <v>63</v>
      </c>
      <c r="C23">
        <v>9078</v>
      </c>
      <c r="D23">
        <v>-2.411</v>
      </c>
      <c r="E23">
        <v>17890</v>
      </c>
      <c r="F23" t="s">
        <v>73</v>
      </c>
      <c r="H23" t="b">
        <f t="shared" si="2"/>
        <v>1</v>
      </c>
      <c r="J23" t="b">
        <f t="shared" si="1"/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Plan3</vt:lpstr>
      <vt:lpstr>Plan2</vt:lpstr>
      <vt:lpstr>Plan4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Barros</dc:creator>
  <cp:lastModifiedBy>Marcio Barros</cp:lastModifiedBy>
  <dcterms:created xsi:type="dcterms:W3CDTF">2012-02-24T16:50:05Z</dcterms:created>
  <dcterms:modified xsi:type="dcterms:W3CDTF">2012-02-24T18:27:17Z</dcterms:modified>
</cp:coreProperties>
</file>